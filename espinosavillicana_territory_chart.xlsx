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_labs\Capstone_1\"/>
    </mc:Choice>
  </mc:AlternateContent>
  <xr:revisionPtr revIDLastSave="0" documentId="13_ncr:9_{29989C93-6AFB-4796-88AA-0DFA895BFD93}" xr6:coauthVersionLast="47" xr6:coauthVersionMax="47" xr10:uidLastSave="{00000000-0000-0000-0000-000000000000}"/>
  <bookViews>
    <workbookView xWindow="-22350" yWindow="-21710" windowWidth="38620" windowHeight="21100" xr2:uid="{97643035-96C9-475C-ACF9-CFC9D5501FC9}"/>
  </bookViews>
  <sheets>
    <sheet name="espinosavillicana_territory_cha" sheetId="1" r:id="rId1"/>
  </sheets>
  <definedNames>
    <definedName name="_xlnm._FilterDatabase" localSheetId="0" hidden="1">espinosavillicana_territory_cha!$A$1:$G$45</definedName>
  </definedNames>
  <calcPr calcId="0"/>
  <pivotCaches>
    <pivotCache cacheId="44" r:id="rId2"/>
  </pivotCaches>
</workbook>
</file>

<file path=xl/sharedStrings.xml><?xml version="1.0" encoding="utf-8"?>
<sst xmlns="http://schemas.openxmlformats.org/spreadsheetml/2006/main" count="96" uniqueCount="28">
  <si>
    <t>Store_ID</t>
  </si>
  <si>
    <t>Location</t>
  </si>
  <si>
    <t>Years</t>
  </si>
  <si>
    <t>TotalStoreRevenue</t>
  </si>
  <si>
    <t>StoreContributionRatio</t>
  </si>
  <si>
    <t>TerritoryAllTimeTotal</t>
  </si>
  <si>
    <t>StoreAllTimeContributionRatio</t>
  </si>
  <si>
    <t>Cape Canaveral</t>
  </si>
  <si>
    <t>Fort Lauderdale</t>
  </si>
  <si>
    <t>Jacksonville</t>
  </si>
  <si>
    <t>Key West</t>
  </si>
  <si>
    <t>Lakeland</t>
  </si>
  <si>
    <t>Miami</t>
  </si>
  <si>
    <t>Naples</t>
  </si>
  <si>
    <t>Orlando</t>
  </si>
  <si>
    <t>Sebring</t>
  </si>
  <si>
    <t>Tallahassee</t>
  </si>
  <si>
    <t>Tampa</t>
  </si>
  <si>
    <t>Column Labels</t>
  </si>
  <si>
    <t>Grand Total</t>
  </si>
  <si>
    <t>(All)</t>
  </si>
  <si>
    <t>Row Labels</t>
  </si>
  <si>
    <t>Sum of TotalStoreRevenue</t>
  </si>
  <si>
    <t>Sum of StoreContributionRatio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</si>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</sst>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[espinosavillicana_territory_chart.xlsx]espinosavillicana_territory_cha!PivotTable2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layout>
        <c:manualLayout>
          <c:xMode val="edge"/>
          <c:yMode val="edge"/>
          <c:x val="0.42697623298700699"/>
          <c:y val="0.146786302874931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espinosavillicana_territory_cha!$J$3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espinosavillicana_territory_cha!$I$4:$I$15</c:f>
              <c:strCache>
                <c:ptCount val="11"/>
                <c:pt idx="0">
                  <c:v>719</c:v>
                </c:pt>
                <c:pt idx="1">
                  <c:v>720</c:v>
                </c:pt>
                <c:pt idx="2">
                  <c:v>721</c:v>
                </c:pt>
                <c:pt idx="3">
                  <c:v>722</c:v>
                </c:pt>
                <c:pt idx="4">
                  <c:v>723</c:v>
                </c:pt>
                <c:pt idx="5">
                  <c:v>724</c:v>
                </c:pt>
                <c:pt idx="6">
                  <c:v>725</c:v>
                </c:pt>
                <c:pt idx="7">
                  <c:v>726</c:v>
                </c:pt>
                <c:pt idx="8">
                  <c:v>727</c:v>
                </c:pt>
                <c:pt idx="9">
                  <c:v>728</c:v>
                </c:pt>
                <c:pt idx="10">
                  <c:v>729</c:v>
                </c:pt>
              </c:strCache>
            </c:strRef>
          </c:cat>
          <c:val>
            <c:numRef>
              <c:f>espinosavillicana_territory_cha!$J$4:$J$15</c:f>
              <c:numCache>
                <c:formatCode>General</c:formatCode>
                <c:ptCount val="11"/>
                <c:pt idx="0">
                  <c:v>331956.13</c:v>
                </c:pt>
                <c:pt idx="1">
                  <c:v>302270.07</c:v>
                </c:pt>
                <c:pt idx="2">
                  <c:v>331667.08</c:v>
                </c:pt>
                <c:pt idx="3">
                  <c:v>332620.43</c:v>
                </c:pt>
                <c:pt idx="4">
                  <c:v>273835.24</c:v>
                </c:pt>
                <c:pt idx="5">
                  <c:v>618846.25</c:v>
                </c:pt>
                <c:pt idx="6">
                  <c:v>259602.83000000002</c:v>
                </c:pt>
                <c:pt idx="7">
                  <c:v>297891.70999999996</c:v>
                </c:pt>
                <c:pt idx="8">
                  <c:v>330848.14</c:v>
                </c:pt>
                <c:pt idx="9">
                  <c:v>541670.66</c:v>
                </c:pt>
                <c:pt idx="10">
                  <c:v>308979.01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62-4660-937F-3094793E5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400095"/>
        <c:axId val="1755400575"/>
      </c:barChart>
      <c:catAx>
        <c:axId val="175540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00575"/>
        <c:crosses val="autoZero"/>
        <c:auto val="1"/>
        <c:lblAlgn val="ctr"/>
        <c:lblOffset val="100"/>
        <c:noMultiLvlLbl val="0"/>
      </c:catAx>
      <c:valAx>
        <c:axId val="17554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0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[espinosavillicana_territory_chart.xlsx]espinosavillicana_territory_cha!PivotTable26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espinosavillicana_territory_cha!$O$4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espinosavillicana_territory_cha!$N$5:$N$16</c:f>
              <c:strCache>
                <c:ptCount val="11"/>
                <c:pt idx="0">
                  <c:v>Cape Canaveral</c:v>
                </c:pt>
                <c:pt idx="1">
                  <c:v>Fort Lauderdale</c:v>
                </c:pt>
                <c:pt idx="2">
                  <c:v>Jacksonville</c:v>
                </c:pt>
                <c:pt idx="3">
                  <c:v>Key West</c:v>
                </c:pt>
                <c:pt idx="4">
                  <c:v>Lakeland</c:v>
                </c:pt>
                <c:pt idx="5">
                  <c:v>Miami</c:v>
                </c:pt>
                <c:pt idx="6">
                  <c:v>Naples</c:v>
                </c:pt>
                <c:pt idx="7">
                  <c:v>Orlando</c:v>
                </c:pt>
                <c:pt idx="8">
                  <c:v>Sebring</c:v>
                </c:pt>
                <c:pt idx="9">
                  <c:v>Tallahassee</c:v>
                </c:pt>
                <c:pt idx="10">
                  <c:v>Tampa</c:v>
                </c:pt>
              </c:strCache>
            </c:strRef>
          </c:cat>
          <c:val>
            <c:numRef>
              <c:f>espinosavillicana_territory_cha!$O$5:$O$16</c:f>
              <c:numCache>
                <c:formatCode>General</c:formatCode>
                <c:ptCount val="11"/>
                <c:pt idx="0">
                  <c:v>8.4462000000000009E-2</c:v>
                </c:pt>
                <c:pt idx="1">
                  <c:v>7.6910000000000006E-2</c:v>
                </c:pt>
                <c:pt idx="2">
                  <c:v>8.4390000000000007E-2</c:v>
                </c:pt>
                <c:pt idx="3">
                  <c:v>8.4631999999999999E-2</c:v>
                </c:pt>
                <c:pt idx="4">
                  <c:v>6.9675000000000001E-2</c:v>
                </c:pt>
                <c:pt idx="5">
                  <c:v>0.15745999999999999</c:v>
                </c:pt>
                <c:pt idx="6">
                  <c:v>6.6053000000000001E-2</c:v>
                </c:pt>
                <c:pt idx="7">
                  <c:v>7.5796000000000002E-2</c:v>
                </c:pt>
                <c:pt idx="8">
                  <c:v>8.4182000000000007E-2</c:v>
                </c:pt>
                <c:pt idx="9">
                  <c:v>0.137823</c:v>
                </c:pt>
                <c:pt idx="10">
                  <c:v>7.8616999999999992E-2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8-46CA-BA11-A46039C9ED3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79302061891984"/>
          <c:y val="2.330540244977378E-2"/>
          <c:w val="0.20731037412715078"/>
          <c:h val="0.91404176099892831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[espinosavillicana_territory_chart.xlsx]espinosavillicana_territory_cha!PivotTable27</c:name>
    <c:fmtId val="4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espinosavillicana_territory_cha!$J$36:$J$37</c:f>
              <c:strCache>
                <c:ptCount val="1"/>
                <c:pt idx="0">
                  <c:v>Cape Canaveral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espinosavillicana_territory_cha!$J$38:$J$42</c:f>
              <c:numCache>
                <c:formatCode>General</c:formatCode>
                <c:ptCount val="4"/>
                <c:pt idx="0">
                  <c:v>1.1613999999999999E-2</c:v>
                </c:pt>
                <c:pt idx="1">
                  <c:v>2.0611999999999998E-2</c:v>
                </c:pt>
                <c:pt idx="2">
                  <c:v>2.0629999999999999E-2</c:v>
                </c:pt>
                <c:pt idx="3">
                  <c:v>3.1606000000000002E-2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788-4EB6-852C-B15521260A2C}"/>
            </c:ext>
          </c:extLst>
        </c:ser>
        <c:ser>
          <c:idx val="1"/>
          <c:order val="1"/>
          <c:tx>
            <c:strRef>
              <c:f>espinosavillicana_territory_cha!$K$36:$K$37</c:f>
              <c:strCache>
                <c:ptCount val="1"/>
                <c:pt idx="0">
                  <c:v>Fort Lauderdale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espinosavillicana_territory_cha!$K$38:$K$42</c:f>
              <c:numCache>
                <c:formatCode>General</c:formatCode>
                <c:ptCount val="4"/>
                <c:pt idx="0">
                  <c:v>1.0485E-2</c:v>
                </c:pt>
                <c:pt idx="1">
                  <c:v>1.7888000000000001E-2</c:v>
                </c:pt>
                <c:pt idx="2">
                  <c:v>1.8256000000000001E-2</c:v>
                </c:pt>
                <c:pt idx="3">
                  <c:v>3.0280999999999999E-2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788-4EB6-852C-B15521260A2C}"/>
            </c:ext>
          </c:extLst>
        </c:ser>
        <c:ser>
          <c:idx val="2"/>
          <c:order val="2"/>
          <c:tx>
            <c:strRef>
              <c:f>espinosavillicana_territory_cha!$L$36:$L$37</c:f>
              <c:strCache>
                <c:ptCount val="1"/>
                <c:pt idx="0">
                  <c:v>Jacksonville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espinosavillicana_territory_cha!$L$38:$L$42</c:f>
              <c:numCache>
                <c:formatCode>General</c:formatCode>
                <c:ptCount val="4"/>
                <c:pt idx="0">
                  <c:v>1.1714E-2</c:v>
                </c:pt>
                <c:pt idx="1">
                  <c:v>1.9643000000000001E-2</c:v>
                </c:pt>
                <c:pt idx="2">
                  <c:v>1.9699999999999999E-2</c:v>
                </c:pt>
                <c:pt idx="3">
                  <c:v>3.3333000000000002E-2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788-4EB6-852C-B15521260A2C}"/>
            </c:ext>
          </c:extLst>
        </c:ser>
        <c:ser>
          <c:idx val="3"/>
          <c:order val="3"/>
          <c:tx>
            <c:strRef>
              <c:f>espinosavillicana_territory_cha!$M$36:$M$37</c:f>
              <c:strCache>
                <c:ptCount val="1"/>
                <c:pt idx="0">
                  <c:v>Key 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espinosavillicana_territory_cha!$M$38:$M$42</c:f>
              <c:numCache>
                <c:formatCode>General</c:formatCode>
                <c:ptCount val="4"/>
                <c:pt idx="0">
                  <c:v>1.1927E-2</c:v>
                </c:pt>
                <c:pt idx="1">
                  <c:v>2.1106E-2</c:v>
                </c:pt>
                <c:pt idx="2">
                  <c:v>2.1107999999999998E-2</c:v>
                </c:pt>
                <c:pt idx="3">
                  <c:v>3.0491000000000001E-2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788-4EB6-852C-B15521260A2C}"/>
            </c:ext>
          </c:extLst>
        </c:ser>
        <c:ser>
          <c:idx val="4"/>
          <c:order val="4"/>
          <c:tx>
            <c:strRef>
              <c:f>espinosavillicana_territory_cha!$N$36:$N$37</c:f>
              <c:strCache>
                <c:ptCount val="1"/>
                <c:pt idx="0">
                  <c:v>Lakeland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espinosavillicana_territory_cha!$N$38:$N$42</c:f>
              <c:numCache>
                <c:formatCode>General</c:formatCode>
                <c:ptCount val="4"/>
                <c:pt idx="0">
                  <c:v>1.0964E-2</c:v>
                </c:pt>
                <c:pt idx="1">
                  <c:v>1.6372000000000001E-2</c:v>
                </c:pt>
                <c:pt idx="2">
                  <c:v>1.6375000000000001E-2</c:v>
                </c:pt>
                <c:pt idx="3">
                  <c:v>2.5964000000000001E-2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0788-4EB6-852C-B15521260A2C}"/>
            </c:ext>
          </c:extLst>
        </c:ser>
        <c:ser>
          <c:idx val="5"/>
          <c:order val="5"/>
          <c:tx>
            <c:strRef>
              <c:f>espinosavillicana_territory_cha!$O$36:$O$37</c:f>
              <c:strCache>
                <c:ptCount val="1"/>
                <c:pt idx="0">
                  <c:v>Miami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espinosavillicana_territory_cha!$O$38:$O$42</c:f>
              <c:numCache>
                <c:formatCode>General</c:formatCode>
                <c:ptCount val="4"/>
                <c:pt idx="0">
                  <c:v>2.2634000000000001E-2</c:v>
                </c:pt>
                <c:pt idx="1">
                  <c:v>3.5823000000000001E-2</c:v>
                </c:pt>
                <c:pt idx="2">
                  <c:v>3.5823000000000001E-2</c:v>
                </c:pt>
                <c:pt idx="3">
                  <c:v>6.318E-2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788-4EB6-852C-B15521260A2C}"/>
            </c:ext>
          </c:extLst>
        </c:ser>
        <c:ser>
          <c:idx val="6"/>
          <c:order val="6"/>
          <c:tx>
            <c:strRef>
              <c:f>espinosavillicana_territory_cha!$P$36:$P$37</c:f>
              <c:strCache>
                <c:ptCount val="1"/>
                <c:pt idx="0">
                  <c:v>Naples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espinosavillicana_territory_cha!$P$38:$P$42</c:f>
              <c:numCache>
                <c:formatCode>General</c:formatCode>
                <c:ptCount val="4"/>
                <c:pt idx="0">
                  <c:v>1.1875E-2</c:v>
                </c:pt>
                <c:pt idx="1">
                  <c:v>1.4886999999999999E-2</c:v>
                </c:pt>
                <c:pt idx="2">
                  <c:v>1.4899000000000001E-2</c:v>
                </c:pt>
                <c:pt idx="3">
                  <c:v>2.4392E-2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0788-4EB6-852C-B15521260A2C}"/>
            </c:ext>
          </c:extLst>
        </c:ser>
        <c:ser>
          <c:idx val="7"/>
          <c:order val="7"/>
          <c:tx>
            <c:strRef>
              <c:f>espinosavillicana_territory_cha!$Q$36:$Q$37</c:f>
              <c:strCache>
                <c:ptCount val="1"/>
                <c:pt idx="0">
                  <c:v>Orlando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espinosavillicana_territory_cha!$Q$38:$Q$42</c:f>
              <c:numCache>
                <c:formatCode>General</c:formatCode>
                <c:ptCount val="4"/>
                <c:pt idx="0">
                  <c:v>1.3952000000000001E-2</c:v>
                </c:pt>
                <c:pt idx="1">
                  <c:v>1.8428E-2</c:v>
                </c:pt>
                <c:pt idx="2">
                  <c:v>1.8429000000000001E-2</c:v>
                </c:pt>
                <c:pt idx="3">
                  <c:v>2.4986999999999999E-2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788-4EB6-852C-B15521260A2C}"/>
            </c:ext>
          </c:extLst>
        </c:ser>
        <c:ser>
          <c:idx val="8"/>
          <c:order val="8"/>
          <c:tx>
            <c:strRef>
              <c:f>espinosavillicana_territory_cha!$R$36:$R$37</c:f>
              <c:strCache>
                <c:ptCount val="1"/>
                <c:pt idx="0">
                  <c:v>Sebring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espinosavillicana_territory_cha!$R$38:$R$42</c:f>
              <c:numCache>
                <c:formatCode>General</c:formatCode>
                <c:ptCount val="4"/>
                <c:pt idx="0">
                  <c:v>1.2447E-2</c:v>
                </c:pt>
                <c:pt idx="1">
                  <c:v>1.9847E-2</c:v>
                </c:pt>
                <c:pt idx="2">
                  <c:v>1.9876999999999999E-2</c:v>
                </c:pt>
                <c:pt idx="3">
                  <c:v>3.2010999999999998E-2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0788-4EB6-852C-B15521260A2C}"/>
            </c:ext>
          </c:extLst>
        </c:ser>
        <c:ser>
          <c:idx val="9"/>
          <c:order val="9"/>
          <c:tx>
            <c:strRef>
              <c:f>espinosavillicana_territory_cha!$S$36:$S$37</c:f>
              <c:strCache>
                <c:ptCount val="1"/>
                <c:pt idx="0">
                  <c:v>Tallahassee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espinosavillicana_territory_cha!$S$38:$S$42</c:f>
              <c:numCache>
                <c:formatCode>General</c:formatCode>
                <c:ptCount val="4"/>
                <c:pt idx="0">
                  <c:v>2.2478999999999999E-2</c:v>
                </c:pt>
                <c:pt idx="1">
                  <c:v>3.2003999999999998E-2</c:v>
                </c:pt>
                <c:pt idx="2">
                  <c:v>3.2073999999999998E-2</c:v>
                </c:pt>
                <c:pt idx="3">
                  <c:v>5.1265999999999999E-2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788-4EB6-852C-B15521260A2C}"/>
            </c:ext>
          </c:extLst>
        </c:ser>
        <c:ser>
          <c:idx val="10"/>
          <c:order val="10"/>
          <c:tx>
            <c:strRef>
              <c:f>espinosavillicana_territory_cha!$T$36:$T$37</c:f>
              <c:strCache>
                <c:ptCount val="1"/>
                <c:pt idx="0">
                  <c:v>Tampa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espinosavillicana_territory_cha!$I$38:$I$42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espinosavillicana_territory_cha!$T$38:$T$42</c:f>
              <c:numCache>
                <c:formatCode>General</c:formatCode>
                <c:ptCount val="4"/>
                <c:pt idx="0">
                  <c:v>1.2168999999999999E-2</c:v>
                </c:pt>
                <c:pt idx="1">
                  <c:v>1.6757000000000001E-2</c:v>
                </c:pt>
                <c:pt idx="2">
                  <c:v>1.6796999999999999E-2</c:v>
                </c:pt>
                <c:pt idx="3">
                  <c:v>3.2894E-2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0788-4EB6-852C-B15521260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283311"/>
        <c:axId val="1544285231"/>
      </c:lineChart>
      <c:catAx>
        <c:axId val="154428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85231"/>
        <c:crosses val="autoZero"/>
        <c:auto val="1"/>
        <c:lblAlgn val="ctr"/>
        <c:lblOffset val="100"/>
        <c:noMultiLvlLbl val="0"/>
      </c:catAx>
      <c:valAx>
        <c:axId val="154428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83311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16</xdr:row>
      <xdr:rowOff>21770</xdr:rowOff>
    </xdr:from>
    <xdr:to>
      <xdr:col>11</xdr:col>
      <xdr:colOff>366485</xdr:colOff>
      <xdr:row>30</xdr:row>
      <xdr:rowOff>174170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4536B-2B3B-0DEF-D8A7-5B58E5DA4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36739</xdr:colOff>
      <xdr:row>16</xdr:row>
      <xdr:rowOff>14514</xdr:rowOff>
    </xdr:from>
    <xdr:to>
      <xdr:col>16</xdr:col>
      <xdr:colOff>302532</xdr:colOff>
      <xdr:row>30</xdr:row>
      <xdr:rowOff>175986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95587C-CB6B-8887-AC17-D63671150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19957</xdr:colOff>
      <xdr:row>42</xdr:row>
      <xdr:rowOff>32657</xdr:rowOff>
    </xdr:from>
    <xdr:to>
      <xdr:col>14</xdr:col>
      <xdr:colOff>615950</xdr:colOff>
      <xdr:row>60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652397-A2EF-1D0F-D229-DEAB75DA6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. Espinosa" refreshedDate="46142.9382974537" createdVersion="8" refreshedVersion="8" minRefreshableVersion="3" recordCount="44" xr:uid="{11A6F761-60B5-43A0-848E-641184B86311}">
  <cacheSource type="worksheet">
    <worksheetSource ref="A1:G45" sheet="espinosavillicana_territory_cha"/>
  </cacheSource>
  <cacheFields count="7">
    <cacheField name="Store_ID" numFmtId="0">
      <sharedItems containsSemiMixedTypes="0" containsString="0" containsNumber="1" containsInteger="1" minValue="719" maxValue="729" count="11">
        <n v="719"/>
        <n v="720"/>
        <n v="721"/>
        <n v="722"/>
        <n v="723"/>
        <n v="724"/>
        <n v="725"/>
        <n v="726"/>
        <n v="727"/>
        <n v="728"/>
        <n v="729"/>
      </sharedItems>
    </cacheField>
    <cacheField name="Location" numFmtId="0">
      <sharedItems count="11">
        <s v="Cape Canaveral"/>
        <s v="Fort Lauderdale"/>
        <s v="Jacksonville"/>
        <s v="Key West"/>
        <s v="Lakeland"/>
        <s v="Miami"/>
        <s v="Naples"/>
        <s v="Orlando"/>
        <s v="Sebring"/>
        <s v="Tallahassee"/>
        <s v="Tampa"/>
      </sharedItems>
    </cacheField>
    <cacheField name="Years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TotalStoreRevenue" numFmtId="0">
      <sharedItems containsSemiMixedTypes="0" containsString="0" containsNumber="1" minValue="41208.18" maxValue="248308.34"/>
    </cacheField>
    <cacheField name="StoreContributionRatio" numFmtId="0">
      <sharedItems containsSemiMixedTypes="0" containsString="0" containsNumber="1" minValue="1.0485E-2" maxValue="6.318E-2" count="43">
        <n v="1.1613999999999999E-2"/>
        <n v="2.0611999999999998E-2"/>
        <n v="2.0629999999999999E-2"/>
        <n v="3.1606000000000002E-2"/>
        <n v="1.0485E-2"/>
        <n v="1.7888000000000001E-2"/>
        <n v="1.8256000000000001E-2"/>
        <n v="3.0280999999999999E-2"/>
        <n v="1.1714E-2"/>
        <n v="1.9643000000000001E-2"/>
        <n v="1.9699999999999999E-2"/>
        <n v="3.3333000000000002E-2"/>
        <n v="1.1927E-2"/>
        <n v="2.1106E-2"/>
        <n v="2.1107999999999998E-2"/>
        <n v="3.0491000000000001E-2"/>
        <n v="1.0964E-2"/>
        <n v="1.6372000000000001E-2"/>
        <n v="1.6375000000000001E-2"/>
        <n v="2.5964000000000001E-2"/>
        <n v="2.2634000000000001E-2"/>
        <n v="3.5823000000000001E-2"/>
        <n v="6.318E-2"/>
        <n v="1.1875E-2"/>
        <n v="1.4886999999999999E-2"/>
        <n v="1.4899000000000001E-2"/>
        <n v="2.4392E-2"/>
        <n v="1.3952000000000001E-2"/>
        <n v="1.8428E-2"/>
        <n v="1.8429000000000001E-2"/>
        <n v="2.4986999999999999E-2"/>
        <n v="1.2447E-2"/>
        <n v="1.9847E-2"/>
        <n v="1.9876999999999999E-2"/>
        <n v="3.2010999999999998E-2"/>
        <n v="2.2478999999999999E-2"/>
        <n v="3.2003999999999998E-2"/>
        <n v="3.2073999999999998E-2"/>
        <n v="5.1265999999999999E-2"/>
        <n v="1.2168999999999999E-2"/>
        <n v="1.6757000000000001E-2"/>
        <n v="1.6796999999999999E-2"/>
        <n v="3.2894E-2"/>
      </sharedItems>
    </cacheField>
    <cacheField name="TerritoryAllTimeTotal" numFmtId="0">
      <sharedItems containsSemiMixedTypes="0" containsString="0" containsNumber="1" minValue="3930187.55" maxValue="3930187.55" count="1">
        <n v="3930187.55"/>
      </sharedItems>
    </cacheField>
    <cacheField name="StoreAllTimeContributionRatio" numFmtId="0">
      <sharedItems containsSemiMixedTypes="0" containsString="0" containsNumber="1" minValue="6.6054000000000002E-2" maxValue="0.15745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n v="45645.97"/>
    <x v="0"/>
    <x v="0"/>
    <n v="8.4462999999999996E-2"/>
  </r>
  <r>
    <x v="0"/>
    <x v="0"/>
    <x v="1"/>
    <n v="81010.89"/>
    <x v="1"/>
    <x v="0"/>
    <n v="8.4462999999999996E-2"/>
  </r>
  <r>
    <x v="0"/>
    <x v="0"/>
    <x v="2"/>
    <n v="81079.88"/>
    <x v="2"/>
    <x v="0"/>
    <n v="8.4462999999999996E-2"/>
  </r>
  <r>
    <x v="0"/>
    <x v="0"/>
    <x v="3"/>
    <n v="124219.39"/>
    <x v="3"/>
    <x v="0"/>
    <n v="8.4462999999999996E-2"/>
  </r>
  <r>
    <x v="1"/>
    <x v="1"/>
    <x v="0"/>
    <n v="41208.18"/>
    <x v="4"/>
    <x v="0"/>
    <n v="7.6910000000000006E-2"/>
  </r>
  <r>
    <x v="1"/>
    <x v="1"/>
    <x v="1"/>
    <n v="70301.33"/>
    <x v="5"/>
    <x v="0"/>
    <n v="7.6910000000000006E-2"/>
  </r>
  <r>
    <x v="1"/>
    <x v="1"/>
    <x v="2"/>
    <n v="71748.75"/>
    <x v="6"/>
    <x v="0"/>
    <n v="7.6910000000000006E-2"/>
  </r>
  <r>
    <x v="1"/>
    <x v="1"/>
    <x v="3"/>
    <n v="119011.81"/>
    <x v="7"/>
    <x v="0"/>
    <n v="7.6910000000000006E-2"/>
  </r>
  <r>
    <x v="2"/>
    <x v="2"/>
    <x v="0"/>
    <n v="46037.5"/>
    <x v="8"/>
    <x v="0"/>
    <n v="8.4390000000000007E-2"/>
  </r>
  <r>
    <x v="2"/>
    <x v="2"/>
    <x v="1"/>
    <n v="77199.87"/>
    <x v="9"/>
    <x v="0"/>
    <n v="8.4390000000000007E-2"/>
  </r>
  <r>
    <x v="2"/>
    <x v="2"/>
    <x v="2"/>
    <n v="77423.19"/>
    <x v="10"/>
    <x v="0"/>
    <n v="8.4390000000000007E-2"/>
  </r>
  <r>
    <x v="2"/>
    <x v="2"/>
    <x v="3"/>
    <n v="131006.52"/>
    <x v="11"/>
    <x v="0"/>
    <n v="8.4390000000000007E-2"/>
  </r>
  <r>
    <x v="3"/>
    <x v="3"/>
    <x v="0"/>
    <n v="46876.13"/>
    <x v="12"/>
    <x v="0"/>
    <n v="8.4631999999999999E-2"/>
  </r>
  <r>
    <x v="3"/>
    <x v="3"/>
    <x v="1"/>
    <n v="82950.44"/>
    <x v="13"/>
    <x v="0"/>
    <n v="8.4631999999999999E-2"/>
  </r>
  <r>
    <x v="3"/>
    <x v="3"/>
    <x v="2"/>
    <n v="82958.289999999994"/>
    <x v="14"/>
    <x v="0"/>
    <n v="8.4631999999999999E-2"/>
  </r>
  <r>
    <x v="3"/>
    <x v="3"/>
    <x v="3"/>
    <n v="119835.57"/>
    <x v="15"/>
    <x v="0"/>
    <n v="8.4631999999999999E-2"/>
  </r>
  <r>
    <x v="4"/>
    <x v="4"/>
    <x v="0"/>
    <n v="43091.040000000001"/>
    <x v="16"/>
    <x v="0"/>
    <n v="6.9675000000000001E-2"/>
  </r>
  <r>
    <x v="4"/>
    <x v="4"/>
    <x v="1"/>
    <n v="64344.22"/>
    <x v="17"/>
    <x v="0"/>
    <n v="6.9675000000000001E-2"/>
  </r>
  <r>
    <x v="4"/>
    <x v="4"/>
    <x v="2"/>
    <n v="64356.34"/>
    <x v="18"/>
    <x v="0"/>
    <n v="6.9675000000000001E-2"/>
  </r>
  <r>
    <x v="4"/>
    <x v="4"/>
    <x v="3"/>
    <n v="102043.64"/>
    <x v="19"/>
    <x v="0"/>
    <n v="6.9675000000000001E-2"/>
  </r>
  <r>
    <x v="5"/>
    <x v="5"/>
    <x v="0"/>
    <n v="88954.59"/>
    <x v="20"/>
    <x v="0"/>
    <n v="0.15745999999999999"/>
  </r>
  <r>
    <x v="5"/>
    <x v="5"/>
    <x v="1"/>
    <n v="140791.66"/>
    <x v="21"/>
    <x v="0"/>
    <n v="0.15745999999999999"/>
  </r>
  <r>
    <x v="5"/>
    <x v="5"/>
    <x v="2"/>
    <n v="140791.66"/>
    <x v="21"/>
    <x v="0"/>
    <n v="0.15745999999999999"/>
  </r>
  <r>
    <x v="5"/>
    <x v="5"/>
    <x v="3"/>
    <n v="248308.34"/>
    <x v="22"/>
    <x v="0"/>
    <n v="0.15745999999999999"/>
  </r>
  <r>
    <x v="6"/>
    <x v="6"/>
    <x v="0"/>
    <n v="46672.58"/>
    <x v="23"/>
    <x v="0"/>
    <n v="6.6054000000000002E-2"/>
  </r>
  <r>
    <x v="6"/>
    <x v="6"/>
    <x v="1"/>
    <n v="58509.5"/>
    <x v="24"/>
    <x v="0"/>
    <n v="6.6054000000000002E-2"/>
  </r>
  <r>
    <x v="6"/>
    <x v="6"/>
    <x v="2"/>
    <n v="58556.3"/>
    <x v="25"/>
    <x v="0"/>
    <n v="6.6054000000000002E-2"/>
  </r>
  <r>
    <x v="6"/>
    <x v="6"/>
    <x v="3"/>
    <n v="95864.45"/>
    <x v="26"/>
    <x v="0"/>
    <n v="6.6054000000000002E-2"/>
  </r>
  <r>
    <x v="7"/>
    <x v="7"/>
    <x v="0"/>
    <n v="54835.08"/>
    <x v="27"/>
    <x v="0"/>
    <n v="7.5796000000000002E-2"/>
  </r>
  <r>
    <x v="7"/>
    <x v="7"/>
    <x v="1"/>
    <n v="72425.179999999993"/>
    <x v="28"/>
    <x v="0"/>
    <n v="7.5796000000000002E-2"/>
  </r>
  <r>
    <x v="7"/>
    <x v="7"/>
    <x v="2"/>
    <n v="72427.58"/>
    <x v="29"/>
    <x v="0"/>
    <n v="7.5796000000000002E-2"/>
  </r>
  <r>
    <x v="7"/>
    <x v="7"/>
    <x v="3"/>
    <n v="98203.87"/>
    <x v="30"/>
    <x v="0"/>
    <n v="7.5796000000000002E-2"/>
  </r>
  <r>
    <x v="8"/>
    <x v="8"/>
    <x v="0"/>
    <n v="48918.85"/>
    <x v="31"/>
    <x v="0"/>
    <n v="8.4181000000000006E-2"/>
  </r>
  <r>
    <x v="8"/>
    <x v="8"/>
    <x v="1"/>
    <n v="78000.78"/>
    <x v="32"/>
    <x v="0"/>
    <n v="8.4181000000000006E-2"/>
  </r>
  <r>
    <x v="8"/>
    <x v="8"/>
    <x v="2"/>
    <n v="78119.27"/>
    <x v="33"/>
    <x v="0"/>
    <n v="8.4181000000000006E-2"/>
  </r>
  <r>
    <x v="8"/>
    <x v="8"/>
    <x v="3"/>
    <n v="125809.24"/>
    <x v="34"/>
    <x v="0"/>
    <n v="8.4181000000000006E-2"/>
  </r>
  <r>
    <x v="9"/>
    <x v="9"/>
    <x v="0"/>
    <n v="88346.74"/>
    <x v="35"/>
    <x v="0"/>
    <n v="0.137823"/>
  </r>
  <r>
    <x v="9"/>
    <x v="9"/>
    <x v="1"/>
    <n v="125782.42"/>
    <x v="36"/>
    <x v="0"/>
    <n v="0.137823"/>
  </r>
  <r>
    <x v="9"/>
    <x v="9"/>
    <x v="2"/>
    <n v="126058.34"/>
    <x v="37"/>
    <x v="0"/>
    <n v="0.137823"/>
  </r>
  <r>
    <x v="9"/>
    <x v="9"/>
    <x v="3"/>
    <n v="201483.16"/>
    <x v="38"/>
    <x v="0"/>
    <n v="0.137823"/>
  </r>
  <r>
    <x v="10"/>
    <x v="10"/>
    <x v="0"/>
    <n v="47826.73"/>
    <x v="39"/>
    <x v="0"/>
    <n v="7.8617000000000006E-2"/>
  </r>
  <r>
    <x v="10"/>
    <x v="10"/>
    <x v="1"/>
    <n v="65858.38"/>
    <x v="40"/>
    <x v="0"/>
    <n v="7.8617000000000006E-2"/>
  </r>
  <r>
    <x v="10"/>
    <x v="10"/>
    <x v="2"/>
    <n v="66014.25"/>
    <x v="41"/>
    <x v="0"/>
    <n v="7.8617000000000006E-2"/>
  </r>
  <r>
    <x v="10"/>
    <x v="10"/>
    <x v="3"/>
    <n v="129279.65"/>
    <x v="42"/>
    <x v="0"/>
    <n v="7.861700000000000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7F893-B28A-460C-B1A6-4C468ADAF3E4}" name="PivotTable27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I36:U42" firstHeaderRow="1" firstDataRow="2" firstDataCol="1" rowPageCount="1" colPageCount="1"/>
  <pivotFields count="7">
    <pivotField axis="axisPage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44">
        <item x="4"/>
        <item x="16"/>
        <item x="0"/>
        <item x="8"/>
        <item x="23"/>
        <item x="12"/>
        <item x="39"/>
        <item x="31"/>
        <item x="27"/>
        <item x="24"/>
        <item x="25"/>
        <item x="17"/>
        <item x="18"/>
        <item x="40"/>
        <item x="41"/>
        <item x="5"/>
        <item x="6"/>
        <item x="28"/>
        <item x="29"/>
        <item x="9"/>
        <item x="10"/>
        <item x="32"/>
        <item x="33"/>
        <item x="1"/>
        <item x="2"/>
        <item x="13"/>
        <item x="14"/>
        <item x="35"/>
        <item x="20"/>
        <item x="26"/>
        <item x="30"/>
        <item x="19"/>
        <item x="7"/>
        <item x="15"/>
        <item x="3"/>
        <item x="36"/>
        <item x="34"/>
        <item x="37"/>
        <item x="42"/>
        <item x="11"/>
        <item x="21"/>
        <item x="38"/>
        <item x="22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0" hier="-1"/>
  </pageFields>
  <dataFields count="1">
    <dataField name="Sum of StoreContributionRatio" fld="4" baseField="0" baseItem="0"/>
  </dataFields>
  <chartFormats count="15">
    <chartFormat chart="40" format="44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40" format="45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40" format="46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40" format="47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40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A453B-292D-4E75-A623-269DA142B672}" name="PivotTable2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N4:O16" firstHeaderRow="1" firstDataRow="1" firstDataCol="1" rowPageCount="2" colPageCount="1"/>
  <pivotFields count="7"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>
      <items count="2">
        <item x="0"/>
        <item t="default"/>
      </items>
    </pivotField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2" hier="-1"/>
    <pageField fld="0" hier="-1"/>
  </pageFields>
  <dataFields count="1">
    <dataField name="Sum of StoreContributionRatio" fld="4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C33E1-C09B-42BB-931D-27C53D02EB5B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:J15" firstHeaderRow="1" firstDataRow="1" firstDataCol="1" rowPageCount="1" colPageCount="1"/>
  <pivotFields count="7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dataField="1" showAll="0"/>
    <pivotField showAll="0">
      <items count="44">
        <item x="4"/>
        <item x="16"/>
        <item x="0"/>
        <item x="8"/>
        <item x="23"/>
        <item x="12"/>
        <item x="39"/>
        <item x="31"/>
        <item x="27"/>
        <item x="24"/>
        <item x="25"/>
        <item x="17"/>
        <item x="18"/>
        <item x="40"/>
        <item x="41"/>
        <item x="5"/>
        <item x="6"/>
        <item x="28"/>
        <item x="29"/>
        <item x="9"/>
        <item x="10"/>
        <item x="32"/>
        <item x="33"/>
        <item x="1"/>
        <item x="2"/>
        <item x="13"/>
        <item x="14"/>
        <item x="35"/>
        <item x="20"/>
        <item x="26"/>
        <item x="30"/>
        <item x="19"/>
        <item x="7"/>
        <item x="15"/>
        <item x="3"/>
        <item x="36"/>
        <item x="34"/>
        <item x="37"/>
        <item x="42"/>
        <item x="11"/>
        <item x="21"/>
        <item x="38"/>
        <item x="22"/>
        <item t="default"/>
      </items>
    </pivotField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 of TotalStoreRevenue" fld="3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C8D6-A564-41AE-846B-513BEF282D37}">
  <dimension ref="A1:U45"/>
  <sheetViews>
    <sheetView tabSelected="1" topLeftCell="A13" workbookViewId="0">
      <selection activeCell="Q50" sqref="Q50"/>
    </sheetView>
  </sheetViews>
  <sheetFormatPr defaultRowHeight="14.6" x14ac:dyDescent="0.4"/>
  <cols>
    <col min="1" max="1" width="7.69140625" bestFit="1" customWidth="1"/>
    <col min="2" max="2" width="13.69140625" bestFit="1" customWidth="1"/>
    <col min="3" max="3" width="5.3828125" bestFit="1" customWidth="1"/>
    <col min="4" max="4" width="16.07421875" bestFit="1" customWidth="1"/>
    <col min="5" max="5" width="19.4609375" bestFit="1" customWidth="1"/>
    <col min="6" max="6" width="17.3828125" bestFit="1" customWidth="1"/>
    <col min="7" max="7" width="25.4609375" bestFit="1" customWidth="1"/>
    <col min="9" max="9" width="26.53515625" bestFit="1" customWidth="1"/>
    <col min="10" max="10" width="15.53515625" bestFit="1" customWidth="1"/>
    <col min="11" max="11" width="14" bestFit="1" customWidth="1"/>
    <col min="12" max="12" width="11.07421875" bestFit="1" customWidth="1"/>
    <col min="13" max="18" width="8.84375" bestFit="1" customWidth="1"/>
    <col min="19" max="19" width="10.765625" bestFit="1" customWidth="1"/>
    <col min="20" max="20" width="8.84375" bestFit="1" customWidth="1"/>
    <col min="21" max="21" width="10.4609375" bestFit="1" customWidth="1"/>
    <col min="22" max="29" width="8.84375" bestFit="1" customWidth="1"/>
    <col min="30" max="30" width="6.84375" bestFit="1" customWidth="1"/>
    <col min="31" max="33" width="8.84375" bestFit="1" customWidth="1"/>
    <col min="34" max="34" width="7.84375" bestFit="1" customWidth="1"/>
    <col min="35" max="51" width="8.84375" bestFit="1" customWidth="1"/>
    <col min="52" max="52" width="7.84375" bestFit="1" customWidth="1"/>
    <col min="53" max="53" width="10.460937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" t="s">
        <v>2</v>
      </c>
      <c r="J1" t="s">
        <v>20</v>
      </c>
      <c r="N1" s="2" t="s">
        <v>2</v>
      </c>
      <c r="O1" t="s">
        <v>20</v>
      </c>
    </row>
    <row r="2" spans="1:15" x14ac:dyDescent="0.4">
      <c r="A2">
        <v>719</v>
      </c>
      <c r="B2" t="s">
        <v>7</v>
      </c>
      <c r="C2">
        <v>2022</v>
      </c>
      <c r="D2">
        <v>45645.97</v>
      </c>
      <c r="E2">
        <v>1.1613999999999999E-2</v>
      </c>
      <c r="F2">
        <v>3930187.55</v>
      </c>
      <c r="G2">
        <v>8.4462999999999996E-2</v>
      </c>
      <c r="N2" s="2" t="s">
        <v>0</v>
      </c>
      <c r="O2" t="s">
        <v>20</v>
      </c>
    </row>
    <row r="3" spans="1:15" x14ac:dyDescent="0.4">
      <c r="A3">
        <v>719</v>
      </c>
      <c r="B3" t="s">
        <v>7</v>
      </c>
      <c r="C3">
        <v>2023</v>
      </c>
      <c r="D3">
        <v>81010.89</v>
      </c>
      <c r="E3">
        <v>2.0611999999999998E-2</v>
      </c>
      <c r="F3">
        <v>3930187.55</v>
      </c>
      <c r="G3">
        <v>8.4462999999999996E-2</v>
      </c>
      <c r="I3" s="2" t="s">
        <v>21</v>
      </c>
      <c r="J3" t="s">
        <v>22</v>
      </c>
    </row>
    <row r="4" spans="1:15" x14ac:dyDescent="0.4">
      <c r="A4">
        <v>719</v>
      </c>
      <c r="B4" t="s">
        <v>7</v>
      </c>
      <c r="C4">
        <v>2024</v>
      </c>
      <c r="D4">
        <v>81079.88</v>
      </c>
      <c r="E4">
        <v>2.0629999999999999E-2</v>
      </c>
      <c r="F4">
        <v>3930187.55</v>
      </c>
      <c r="G4">
        <v>8.4462999999999996E-2</v>
      </c>
      <c r="I4" s="3">
        <v>719</v>
      </c>
      <c r="J4" s="1">
        <v>331956.13</v>
      </c>
      <c r="N4" s="2" t="s">
        <v>21</v>
      </c>
      <c r="O4" t="s">
        <v>23</v>
      </c>
    </row>
    <row r="5" spans="1:15" x14ac:dyDescent="0.4">
      <c r="A5">
        <v>719</v>
      </c>
      <c r="B5" t="s">
        <v>7</v>
      </c>
      <c r="C5">
        <v>2025</v>
      </c>
      <c r="D5">
        <v>124219.39</v>
      </c>
      <c r="E5">
        <v>3.1606000000000002E-2</v>
      </c>
      <c r="F5">
        <v>3930187.55</v>
      </c>
      <c r="G5">
        <v>8.4462999999999996E-2</v>
      </c>
      <c r="I5" s="3">
        <v>720</v>
      </c>
      <c r="J5" s="1">
        <v>302270.07</v>
      </c>
      <c r="N5" s="3" t="s">
        <v>7</v>
      </c>
      <c r="O5" s="1">
        <v>8.4462000000000009E-2</v>
      </c>
    </row>
    <row r="6" spans="1:15" x14ac:dyDescent="0.4">
      <c r="A6">
        <v>720</v>
      </c>
      <c r="B6" t="s">
        <v>8</v>
      </c>
      <c r="C6">
        <v>2022</v>
      </c>
      <c r="D6">
        <v>41208.18</v>
      </c>
      <c r="E6">
        <v>1.0485E-2</v>
      </c>
      <c r="F6">
        <v>3930187.55</v>
      </c>
      <c r="G6">
        <v>7.6910000000000006E-2</v>
      </c>
      <c r="I6" s="3">
        <v>721</v>
      </c>
      <c r="J6" s="1">
        <v>331667.08</v>
      </c>
      <c r="N6" s="3" t="s">
        <v>8</v>
      </c>
      <c r="O6" s="1">
        <v>7.6910000000000006E-2</v>
      </c>
    </row>
    <row r="7" spans="1:15" x14ac:dyDescent="0.4">
      <c r="A7">
        <v>720</v>
      </c>
      <c r="B7" t="s">
        <v>8</v>
      </c>
      <c r="C7">
        <v>2023</v>
      </c>
      <c r="D7">
        <v>70301.33</v>
      </c>
      <c r="E7">
        <v>1.7888000000000001E-2</v>
      </c>
      <c r="F7">
        <v>3930187.55</v>
      </c>
      <c r="G7">
        <v>7.6910000000000006E-2</v>
      </c>
      <c r="I7" s="3">
        <v>722</v>
      </c>
      <c r="J7" s="1">
        <v>332620.43</v>
      </c>
      <c r="N7" s="3" t="s">
        <v>9</v>
      </c>
      <c r="O7" s="1">
        <v>8.4390000000000007E-2</v>
      </c>
    </row>
    <row r="8" spans="1:15" x14ac:dyDescent="0.4">
      <c r="A8">
        <v>720</v>
      </c>
      <c r="B8" t="s">
        <v>8</v>
      </c>
      <c r="C8">
        <v>2024</v>
      </c>
      <c r="D8">
        <v>71748.75</v>
      </c>
      <c r="E8">
        <v>1.8256000000000001E-2</v>
      </c>
      <c r="F8">
        <v>3930187.55</v>
      </c>
      <c r="G8">
        <v>7.6910000000000006E-2</v>
      </c>
      <c r="I8" s="3">
        <v>723</v>
      </c>
      <c r="J8" s="1">
        <v>273835.24</v>
      </c>
      <c r="N8" s="3" t="s">
        <v>10</v>
      </c>
      <c r="O8" s="1">
        <v>8.4631999999999999E-2</v>
      </c>
    </row>
    <row r="9" spans="1:15" x14ac:dyDescent="0.4">
      <c r="A9">
        <v>720</v>
      </c>
      <c r="B9" t="s">
        <v>8</v>
      </c>
      <c r="C9">
        <v>2025</v>
      </c>
      <c r="D9">
        <v>119011.81</v>
      </c>
      <c r="E9">
        <v>3.0280999999999999E-2</v>
      </c>
      <c r="F9">
        <v>3930187.55</v>
      </c>
      <c r="G9">
        <v>7.6910000000000006E-2</v>
      </c>
      <c r="I9" s="3">
        <v>724</v>
      </c>
      <c r="J9" s="1">
        <v>618846.25</v>
      </c>
      <c r="N9" s="3" t="s">
        <v>11</v>
      </c>
      <c r="O9" s="1">
        <v>6.9675000000000001E-2</v>
      </c>
    </row>
    <row r="10" spans="1:15" x14ac:dyDescent="0.4">
      <c r="A10">
        <v>721</v>
      </c>
      <c r="B10" t="s">
        <v>9</v>
      </c>
      <c r="C10">
        <v>2022</v>
      </c>
      <c r="D10">
        <v>46037.5</v>
      </c>
      <c r="E10">
        <v>1.1714E-2</v>
      </c>
      <c r="F10">
        <v>3930187.55</v>
      </c>
      <c r="G10">
        <v>8.4390000000000007E-2</v>
      </c>
      <c r="I10" s="3">
        <v>725</v>
      </c>
      <c r="J10" s="1">
        <v>259602.83000000002</v>
      </c>
      <c r="N10" s="3" t="s">
        <v>12</v>
      </c>
      <c r="O10" s="1">
        <v>0.15745999999999999</v>
      </c>
    </row>
    <row r="11" spans="1:15" x14ac:dyDescent="0.4">
      <c r="A11">
        <v>721</v>
      </c>
      <c r="B11" t="s">
        <v>9</v>
      </c>
      <c r="C11">
        <v>2023</v>
      </c>
      <c r="D11">
        <v>77199.87</v>
      </c>
      <c r="E11">
        <v>1.9643000000000001E-2</v>
      </c>
      <c r="F11">
        <v>3930187.55</v>
      </c>
      <c r="G11">
        <v>8.4390000000000007E-2</v>
      </c>
      <c r="I11" s="3">
        <v>726</v>
      </c>
      <c r="J11" s="1">
        <v>297891.70999999996</v>
      </c>
      <c r="N11" s="3" t="s">
        <v>13</v>
      </c>
      <c r="O11" s="1">
        <v>6.6053000000000001E-2</v>
      </c>
    </row>
    <row r="12" spans="1:15" x14ac:dyDescent="0.4">
      <c r="A12">
        <v>721</v>
      </c>
      <c r="B12" t="s">
        <v>9</v>
      </c>
      <c r="C12">
        <v>2024</v>
      </c>
      <c r="D12">
        <v>77423.19</v>
      </c>
      <c r="E12">
        <v>1.9699999999999999E-2</v>
      </c>
      <c r="F12">
        <v>3930187.55</v>
      </c>
      <c r="G12">
        <v>8.4390000000000007E-2</v>
      </c>
      <c r="I12" s="3">
        <v>727</v>
      </c>
      <c r="J12" s="1">
        <v>330848.14</v>
      </c>
      <c r="N12" s="3" t="s">
        <v>14</v>
      </c>
      <c r="O12" s="1">
        <v>7.5796000000000002E-2</v>
      </c>
    </row>
    <row r="13" spans="1:15" x14ac:dyDescent="0.4">
      <c r="A13">
        <v>721</v>
      </c>
      <c r="B13" t="s">
        <v>9</v>
      </c>
      <c r="C13">
        <v>2025</v>
      </c>
      <c r="D13">
        <v>131006.52</v>
      </c>
      <c r="E13">
        <v>3.3333000000000002E-2</v>
      </c>
      <c r="F13">
        <v>3930187.55</v>
      </c>
      <c r="G13">
        <v>8.4390000000000007E-2</v>
      </c>
      <c r="I13" s="3">
        <v>728</v>
      </c>
      <c r="J13" s="1">
        <v>541670.66</v>
      </c>
      <c r="N13" s="3" t="s">
        <v>15</v>
      </c>
      <c r="O13" s="1">
        <v>8.4182000000000007E-2</v>
      </c>
    </row>
    <row r="14" spans="1:15" x14ac:dyDescent="0.4">
      <c r="A14">
        <v>722</v>
      </c>
      <c r="B14" t="s">
        <v>10</v>
      </c>
      <c r="C14">
        <v>2022</v>
      </c>
      <c r="D14">
        <v>46876.13</v>
      </c>
      <c r="E14">
        <v>1.1927E-2</v>
      </c>
      <c r="F14">
        <v>3930187.55</v>
      </c>
      <c r="G14">
        <v>8.4631999999999999E-2</v>
      </c>
      <c r="I14" s="3">
        <v>729</v>
      </c>
      <c r="J14" s="1">
        <v>308979.01</v>
      </c>
      <c r="N14" s="3" t="s">
        <v>16</v>
      </c>
      <c r="O14" s="1">
        <v>0.137823</v>
      </c>
    </row>
    <row r="15" spans="1:15" x14ac:dyDescent="0.4">
      <c r="A15">
        <v>722</v>
      </c>
      <c r="B15" t="s">
        <v>10</v>
      </c>
      <c r="C15">
        <v>2023</v>
      </c>
      <c r="D15">
        <v>82950.44</v>
      </c>
      <c r="E15">
        <v>2.1106E-2</v>
      </c>
      <c r="F15">
        <v>3930187.55</v>
      </c>
      <c r="G15">
        <v>8.4631999999999999E-2</v>
      </c>
      <c r="I15" s="3" t="s">
        <v>19</v>
      </c>
      <c r="J15" s="1">
        <v>3930187.5500000007</v>
      </c>
      <c r="N15" s="3" t="s">
        <v>17</v>
      </c>
      <c r="O15" s="1">
        <v>7.8616999999999992E-2</v>
      </c>
    </row>
    <row r="16" spans="1:15" x14ac:dyDescent="0.4">
      <c r="A16">
        <v>722</v>
      </c>
      <c r="B16" t="s">
        <v>10</v>
      </c>
      <c r="C16">
        <v>2024</v>
      </c>
      <c r="D16">
        <v>82958.289999999994</v>
      </c>
      <c r="E16">
        <v>2.1107999999999998E-2</v>
      </c>
      <c r="F16">
        <v>3930187.55</v>
      </c>
      <c r="G16">
        <v>8.4631999999999999E-2</v>
      </c>
      <c r="N16" s="3" t="s">
        <v>19</v>
      </c>
      <c r="O16" s="1">
        <v>1</v>
      </c>
    </row>
    <row r="17" spans="1:7" x14ac:dyDescent="0.4">
      <c r="A17">
        <v>722</v>
      </c>
      <c r="B17" t="s">
        <v>10</v>
      </c>
      <c r="C17">
        <v>2025</v>
      </c>
      <c r="D17">
        <v>119835.57</v>
      </c>
      <c r="E17">
        <v>3.0491000000000001E-2</v>
      </c>
      <c r="F17">
        <v>3930187.55</v>
      </c>
      <c r="G17">
        <v>8.4631999999999999E-2</v>
      </c>
    </row>
    <row r="18" spans="1:7" x14ac:dyDescent="0.4">
      <c r="A18">
        <v>723</v>
      </c>
      <c r="B18" t="s">
        <v>11</v>
      </c>
      <c r="C18">
        <v>2022</v>
      </c>
      <c r="D18">
        <v>43091.040000000001</v>
      </c>
      <c r="E18">
        <v>1.0964E-2</v>
      </c>
      <c r="F18">
        <v>3930187.55</v>
      </c>
      <c r="G18">
        <v>6.9675000000000001E-2</v>
      </c>
    </row>
    <row r="19" spans="1:7" x14ac:dyDescent="0.4">
      <c r="A19">
        <v>723</v>
      </c>
      <c r="B19" t="s">
        <v>11</v>
      </c>
      <c r="C19">
        <v>2023</v>
      </c>
      <c r="D19">
        <v>64344.22</v>
      </c>
      <c r="E19">
        <v>1.6372000000000001E-2</v>
      </c>
      <c r="F19">
        <v>3930187.55</v>
      </c>
      <c r="G19">
        <v>6.9675000000000001E-2</v>
      </c>
    </row>
    <row r="20" spans="1:7" x14ac:dyDescent="0.4">
      <c r="A20">
        <v>723</v>
      </c>
      <c r="B20" t="s">
        <v>11</v>
      </c>
      <c r="C20">
        <v>2024</v>
      </c>
      <c r="D20">
        <v>64356.34</v>
      </c>
      <c r="E20">
        <v>1.6375000000000001E-2</v>
      </c>
      <c r="F20">
        <v>3930187.55</v>
      </c>
      <c r="G20">
        <v>6.9675000000000001E-2</v>
      </c>
    </row>
    <row r="21" spans="1:7" x14ac:dyDescent="0.4">
      <c r="A21">
        <v>723</v>
      </c>
      <c r="B21" t="s">
        <v>11</v>
      </c>
      <c r="C21">
        <v>2025</v>
      </c>
      <c r="D21">
        <v>102043.64</v>
      </c>
      <c r="E21">
        <v>2.5964000000000001E-2</v>
      </c>
      <c r="F21">
        <v>3930187.55</v>
      </c>
      <c r="G21">
        <v>6.9675000000000001E-2</v>
      </c>
    </row>
    <row r="22" spans="1:7" x14ac:dyDescent="0.4">
      <c r="A22">
        <v>724</v>
      </c>
      <c r="B22" t="s">
        <v>12</v>
      </c>
      <c r="C22">
        <v>2022</v>
      </c>
      <c r="D22">
        <v>88954.59</v>
      </c>
      <c r="E22">
        <v>2.2634000000000001E-2</v>
      </c>
      <c r="F22">
        <v>3930187.55</v>
      </c>
      <c r="G22">
        <v>0.15745999999999999</v>
      </c>
    </row>
    <row r="23" spans="1:7" x14ac:dyDescent="0.4">
      <c r="A23">
        <v>724</v>
      </c>
      <c r="B23" t="s">
        <v>12</v>
      </c>
      <c r="C23">
        <v>2023</v>
      </c>
      <c r="D23">
        <v>140791.66</v>
      </c>
      <c r="E23">
        <v>3.5823000000000001E-2</v>
      </c>
      <c r="F23">
        <v>3930187.55</v>
      </c>
      <c r="G23">
        <v>0.15745999999999999</v>
      </c>
    </row>
    <row r="24" spans="1:7" x14ac:dyDescent="0.4">
      <c r="A24">
        <v>724</v>
      </c>
      <c r="B24" t="s">
        <v>12</v>
      </c>
      <c r="C24">
        <v>2024</v>
      </c>
      <c r="D24">
        <v>140791.66</v>
      </c>
      <c r="E24">
        <v>3.5823000000000001E-2</v>
      </c>
      <c r="F24">
        <v>3930187.55</v>
      </c>
      <c r="G24">
        <v>0.15745999999999999</v>
      </c>
    </row>
    <row r="25" spans="1:7" x14ac:dyDescent="0.4">
      <c r="A25">
        <v>724</v>
      </c>
      <c r="B25" t="s">
        <v>12</v>
      </c>
      <c r="C25">
        <v>2025</v>
      </c>
      <c r="D25">
        <v>248308.34</v>
      </c>
      <c r="E25">
        <v>6.318E-2</v>
      </c>
      <c r="F25">
        <v>3930187.55</v>
      </c>
      <c r="G25">
        <v>0.15745999999999999</v>
      </c>
    </row>
    <row r="26" spans="1:7" x14ac:dyDescent="0.4">
      <c r="A26">
        <v>725</v>
      </c>
      <c r="B26" t="s">
        <v>13</v>
      </c>
      <c r="C26">
        <v>2022</v>
      </c>
      <c r="D26">
        <v>46672.58</v>
      </c>
      <c r="E26">
        <v>1.1875E-2</v>
      </c>
      <c r="F26">
        <v>3930187.55</v>
      </c>
      <c r="G26">
        <v>6.6054000000000002E-2</v>
      </c>
    </row>
    <row r="27" spans="1:7" x14ac:dyDescent="0.4">
      <c r="A27">
        <v>725</v>
      </c>
      <c r="B27" t="s">
        <v>13</v>
      </c>
      <c r="C27">
        <v>2023</v>
      </c>
      <c r="D27">
        <v>58509.5</v>
      </c>
      <c r="E27">
        <v>1.4886999999999999E-2</v>
      </c>
      <c r="F27">
        <v>3930187.55</v>
      </c>
      <c r="G27">
        <v>6.6054000000000002E-2</v>
      </c>
    </row>
    <row r="28" spans="1:7" x14ac:dyDescent="0.4">
      <c r="A28">
        <v>725</v>
      </c>
      <c r="B28" t="s">
        <v>13</v>
      </c>
      <c r="C28">
        <v>2024</v>
      </c>
      <c r="D28">
        <v>58556.3</v>
      </c>
      <c r="E28">
        <v>1.4899000000000001E-2</v>
      </c>
      <c r="F28">
        <v>3930187.55</v>
      </c>
      <c r="G28">
        <v>6.6054000000000002E-2</v>
      </c>
    </row>
    <row r="29" spans="1:7" x14ac:dyDescent="0.4">
      <c r="A29">
        <v>725</v>
      </c>
      <c r="B29" t="s">
        <v>13</v>
      </c>
      <c r="C29">
        <v>2025</v>
      </c>
      <c r="D29">
        <v>95864.45</v>
      </c>
      <c r="E29">
        <v>2.4392E-2</v>
      </c>
      <c r="F29">
        <v>3930187.55</v>
      </c>
      <c r="G29">
        <v>6.6054000000000002E-2</v>
      </c>
    </row>
    <row r="30" spans="1:7" x14ac:dyDescent="0.4">
      <c r="A30">
        <v>726</v>
      </c>
      <c r="B30" t="s">
        <v>14</v>
      </c>
      <c r="C30">
        <v>2022</v>
      </c>
      <c r="D30">
        <v>54835.08</v>
      </c>
      <c r="E30">
        <v>1.3952000000000001E-2</v>
      </c>
      <c r="F30">
        <v>3930187.55</v>
      </c>
      <c r="G30">
        <v>7.5796000000000002E-2</v>
      </c>
    </row>
    <row r="31" spans="1:7" x14ac:dyDescent="0.4">
      <c r="A31">
        <v>726</v>
      </c>
      <c r="B31" t="s">
        <v>14</v>
      </c>
      <c r="C31">
        <v>2023</v>
      </c>
      <c r="D31">
        <v>72425.179999999993</v>
      </c>
      <c r="E31">
        <v>1.8428E-2</v>
      </c>
      <c r="F31">
        <v>3930187.55</v>
      </c>
      <c r="G31">
        <v>7.5796000000000002E-2</v>
      </c>
    </row>
    <row r="32" spans="1:7" x14ac:dyDescent="0.4">
      <c r="A32">
        <v>726</v>
      </c>
      <c r="B32" t="s">
        <v>14</v>
      </c>
      <c r="C32">
        <v>2024</v>
      </c>
      <c r="D32">
        <v>72427.58</v>
      </c>
      <c r="E32">
        <v>1.8429000000000001E-2</v>
      </c>
      <c r="F32">
        <v>3930187.55</v>
      </c>
      <c r="G32">
        <v>7.5796000000000002E-2</v>
      </c>
    </row>
    <row r="33" spans="1:21" x14ac:dyDescent="0.4">
      <c r="A33">
        <v>726</v>
      </c>
      <c r="B33" t="s">
        <v>14</v>
      </c>
      <c r="C33">
        <v>2025</v>
      </c>
      <c r="D33">
        <v>98203.87</v>
      </c>
      <c r="E33">
        <v>2.4986999999999999E-2</v>
      </c>
      <c r="F33">
        <v>3930187.55</v>
      </c>
      <c r="G33">
        <v>7.5796000000000002E-2</v>
      </c>
    </row>
    <row r="34" spans="1:21" x14ac:dyDescent="0.4">
      <c r="A34">
        <v>727</v>
      </c>
      <c r="B34" t="s">
        <v>15</v>
      </c>
      <c r="C34">
        <v>2022</v>
      </c>
      <c r="D34">
        <v>48918.85</v>
      </c>
      <c r="E34">
        <v>1.2447E-2</v>
      </c>
      <c r="F34">
        <v>3930187.55</v>
      </c>
      <c r="G34">
        <v>8.4181000000000006E-2</v>
      </c>
      <c r="I34" s="2" t="s">
        <v>0</v>
      </c>
      <c r="J34" t="s">
        <v>20</v>
      </c>
    </row>
    <row r="35" spans="1:21" x14ac:dyDescent="0.4">
      <c r="A35">
        <v>727</v>
      </c>
      <c r="B35" t="s">
        <v>15</v>
      </c>
      <c r="C35">
        <v>2023</v>
      </c>
      <c r="D35">
        <v>78000.78</v>
      </c>
      <c r="E35">
        <v>1.9847E-2</v>
      </c>
      <c r="F35">
        <v>3930187.55</v>
      </c>
      <c r="G35">
        <v>8.4181000000000006E-2</v>
      </c>
    </row>
    <row r="36" spans="1:21" x14ac:dyDescent="0.4">
      <c r="A36">
        <v>727</v>
      </c>
      <c r="B36" t="s">
        <v>15</v>
      </c>
      <c r="C36">
        <v>2024</v>
      </c>
      <c r="D36">
        <v>78119.27</v>
      </c>
      <c r="E36">
        <v>1.9876999999999999E-2</v>
      </c>
      <c r="F36">
        <v>3930187.55</v>
      </c>
      <c r="G36">
        <v>8.4181000000000006E-2</v>
      </c>
      <c r="I36" s="2" t="s">
        <v>23</v>
      </c>
      <c r="J36" s="2" t="s">
        <v>18</v>
      </c>
    </row>
    <row r="37" spans="1:21" x14ac:dyDescent="0.4">
      <c r="A37">
        <v>727</v>
      </c>
      <c r="B37" t="s">
        <v>15</v>
      </c>
      <c r="C37">
        <v>2025</v>
      </c>
      <c r="D37">
        <v>125809.24</v>
      </c>
      <c r="E37">
        <v>3.2010999999999998E-2</v>
      </c>
      <c r="F37">
        <v>3930187.55</v>
      </c>
      <c r="G37">
        <v>8.4181000000000006E-2</v>
      </c>
      <c r="I37" s="2" t="s">
        <v>21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t="s">
        <v>12</v>
      </c>
      <c r="P37" t="s">
        <v>13</v>
      </c>
      <c r="Q37" t="s">
        <v>14</v>
      </c>
      <c r="R37" t="s">
        <v>15</v>
      </c>
      <c r="S37" t="s">
        <v>16</v>
      </c>
      <c r="T37" t="s">
        <v>17</v>
      </c>
      <c r="U37" t="s">
        <v>19</v>
      </c>
    </row>
    <row r="38" spans="1:21" x14ac:dyDescent="0.4">
      <c r="A38">
        <v>728</v>
      </c>
      <c r="B38" t="s">
        <v>16</v>
      </c>
      <c r="C38">
        <v>2022</v>
      </c>
      <c r="D38">
        <v>88346.74</v>
      </c>
      <c r="E38">
        <v>2.2478999999999999E-2</v>
      </c>
      <c r="F38">
        <v>3930187.55</v>
      </c>
      <c r="G38">
        <v>0.137823</v>
      </c>
      <c r="I38" s="3">
        <v>2022</v>
      </c>
      <c r="J38" s="1">
        <v>1.1613999999999999E-2</v>
      </c>
      <c r="K38" s="1">
        <v>1.0485E-2</v>
      </c>
      <c r="L38" s="1">
        <v>1.1714E-2</v>
      </c>
      <c r="M38" s="1">
        <v>1.1927E-2</v>
      </c>
      <c r="N38" s="1">
        <v>1.0964E-2</v>
      </c>
      <c r="O38" s="1">
        <v>2.2634000000000001E-2</v>
      </c>
      <c r="P38" s="1">
        <v>1.1875E-2</v>
      </c>
      <c r="Q38" s="1">
        <v>1.3952000000000001E-2</v>
      </c>
      <c r="R38" s="1">
        <v>1.2447E-2</v>
      </c>
      <c r="S38" s="1">
        <v>2.2478999999999999E-2</v>
      </c>
      <c r="T38" s="1">
        <v>1.2168999999999999E-2</v>
      </c>
      <c r="U38" s="1">
        <v>0.15226000000000001</v>
      </c>
    </row>
    <row r="39" spans="1:21" x14ac:dyDescent="0.4">
      <c r="A39">
        <v>728</v>
      </c>
      <c r="B39" t="s">
        <v>16</v>
      </c>
      <c r="C39">
        <v>2023</v>
      </c>
      <c r="D39">
        <v>125782.42</v>
      </c>
      <c r="E39">
        <v>3.2003999999999998E-2</v>
      </c>
      <c r="F39">
        <v>3930187.55</v>
      </c>
      <c r="G39">
        <v>0.137823</v>
      </c>
      <c r="I39" s="3">
        <v>2023</v>
      </c>
      <c r="J39" s="1">
        <v>2.0611999999999998E-2</v>
      </c>
      <c r="K39" s="1">
        <v>1.7888000000000001E-2</v>
      </c>
      <c r="L39" s="1">
        <v>1.9643000000000001E-2</v>
      </c>
      <c r="M39" s="1">
        <v>2.1106E-2</v>
      </c>
      <c r="N39" s="1">
        <v>1.6372000000000001E-2</v>
      </c>
      <c r="O39" s="1">
        <v>3.5823000000000001E-2</v>
      </c>
      <c r="P39" s="1">
        <v>1.4886999999999999E-2</v>
      </c>
      <c r="Q39" s="1">
        <v>1.8428E-2</v>
      </c>
      <c r="R39" s="1">
        <v>1.9847E-2</v>
      </c>
      <c r="S39" s="1">
        <v>3.2003999999999998E-2</v>
      </c>
      <c r="T39" s="1">
        <v>1.6757000000000001E-2</v>
      </c>
      <c r="U39" s="1">
        <v>0.23336700000000002</v>
      </c>
    </row>
    <row r="40" spans="1:21" x14ac:dyDescent="0.4">
      <c r="A40">
        <v>728</v>
      </c>
      <c r="B40" t="s">
        <v>16</v>
      </c>
      <c r="C40">
        <v>2024</v>
      </c>
      <c r="D40">
        <v>126058.34</v>
      </c>
      <c r="E40">
        <v>3.2073999999999998E-2</v>
      </c>
      <c r="F40">
        <v>3930187.55</v>
      </c>
      <c r="G40">
        <v>0.137823</v>
      </c>
      <c r="I40" s="3">
        <v>2024</v>
      </c>
      <c r="J40" s="1">
        <v>2.0629999999999999E-2</v>
      </c>
      <c r="K40" s="1">
        <v>1.8256000000000001E-2</v>
      </c>
      <c r="L40" s="1">
        <v>1.9699999999999999E-2</v>
      </c>
      <c r="M40" s="1">
        <v>2.1107999999999998E-2</v>
      </c>
      <c r="N40" s="1">
        <v>1.6375000000000001E-2</v>
      </c>
      <c r="O40" s="1">
        <v>3.5823000000000001E-2</v>
      </c>
      <c r="P40" s="1">
        <v>1.4899000000000001E-2</v>
      </c>
      <c r="Q40" s="1">
        <v>1.8429000000000001E-2</v>
      </c>
      <c r="R40" s="1">
        <v>1.9876999999999999E-2</v>
      </c>
      <c r="S40" s="1">
        <v>3.2073999999999998E-2</v>
      </c>
      <c r="T40" s="1">
        <v>1.6796999999999999E-2</v>
      </c>
      <c r="U40" s="1">
        <v>0.23396800000000001</v>
      </c>
    </row>
    <row r="41" spans="1:21" x14ac:dyDescent="0.4">
      <c r="A41">
        <v>728</v>
      </c>
      <c r="B41" t="s">
        <v>16</v>
      </c>
      <c r="C41">
        <v>2025</v>
      </c>
      <c r="D41">
        <v>201483.16</v>
      </c>
      <c r="E41">
        <v>5.1265999999999999E-2</v>
      </c>
      <c r="F41">
        <v>3930187.55</v>
      </c>
      <c r="G41">
        <v>0.137823</v>
      </c>
      <c r="I41" s="3">
        <v>2025</v>
      </c>
      <c r="J41" s="1">
        <v>3.1606000000000002E-2</v>
      </c>
      <c r="K41" s="1">
        <v>3.0280999999999999E-2</v>
      </c>
      <c r="L41" s="1">
        <v>3.3333000000000002E-2</v>
      </c>
      <c r="M41" s="1">
        <v>3.0491000000000001E-2</v>
      </c>
      <c r="N41" s="1">
        <v>2.5964000000000001E-2</v>
      </c>
      <c r="O41" s="1">
        <v>6.318E-2</v>
      </c>
      <c r="P41" s="1">
        <v>2.4392E-2</v>
      </c>
      <c r="Q41" s="1">
        <v>2.4986999999999999E-2</v>
      </c>
      <c r="R41" s="1">
        <v>3.2010999999999998E-2</v>
      </c>
      <c r="S41" s="1">
        <v>5.1265999999999999E-2</v>
      </c>
      <c r="T41" s="1">
        <v>3.2894E-2</v>
      </c>
      <c r="U41" s="1">
        <v>0.38040499999999999</v>
      </c>
    </row>
    <row r="42" spans="1:21" x14ac:dyDescent="0.4">
      <c r="A42">
        <v>729</v>
      </c>
      <c r="B42" t="s">
        <v>17</v>
      </c>
      <c r="C42">
        <v>2022</v>
      </c>
      <c r="D42">
        <v>47826.73</v>
      </c>
      <c r="E42">
        <v>1.2168999999999999E-2</v>
      </c>
      <c r="F42">
        <v>3930187.55</v>
      </c>
      <c r="G42">
        <v>7.8617000000000006E-2</v>
      </c>
      <c r="I42" s="3" t="s">
        <v>19</v>
      </c>
      <c r="J42" s="1">
        <v>8.4462000000000009E-2</v>
      </c>
      <c r="K42" s="1">
        <v>7.6910000000000006E-2</v>
      </c>
      <c r="L42" s="1">
        <v>8.4390000000000007E-2</v>
      </c>
      <c r="M42" s="1">
        <v>8.4631999999999999E-2</v>
      </c>
      <c r="N42" s="1">
        <v>6.9675000000000001E-2</v>
      </c>
      <c r="O42" s="1">
        <v>0.15745999999999999</v>
      </c>
      <c r="P42" s="1">
        <v>6.6053000000000001E-2</v>
      </c>
      <c r="Q42" s="1">
        <v>7.5796000000000002E-2</v>
      </c>
      <c r="R42" s="1">
        <v>8.4182000000000007E-2</v>
      </c>
      <c r="S42" s="1">
        <v>0.137823</v>
      </c>
      <c r="T42" s="1">
        <v>7.8616999999999992E-2</v>
      </c>
      <c r="U42" s="1">
        <v>1</v>
      </c>
    </row>
    <row r="43" spans="1:21" x14ac:dyDescent="0.4">
      <c r="A43">
        <v>729</v>
      </c>
      <c r="B43" t="s">
        <v>17</v>
      </c>
      <c r="C43">
        <v>2023</v>
      </c>
      <c r="D43">
        <v>65858.38</v>
      </c>
      <c r="E43">
        <v>1.6757000000000001E-2</v>
      </c>
      <c r="F43">
        <v>3930187.55</v>
      </c>
      <c r="G43">
        <v>7.8617000000000006E-2</v>
      </c>
    </row>
    <row r="44" spans="1:21" x14ac:dyDescent="0.4">
      <c r="A44">
        <v>729</v>
      </c>
      <c r="B44" t="s">
        <v>17</v>
      </c>
      <c r="C44">
        <v>2024</v>
      </c>
      <c r="D44">
        <v>66014.25</v>
      </c>
      <c r="E44">
        <v>1.6796999999999999E-2</v>
      </c>
      <c r="F44">
        <v>3930187.55</v>
      </c>
      <c r="G44">
        <v>7.8617000000000006E-2</v>
      </c>
    </row>
    <row r="45" spans="1:21" x14ac:dyDescent="0.4">
      <c r="A45">
        <v>729</v>
      </c>
      <c r="B45" t="s">
        <v>17</v>
      </c>
      <c r="C45">
        <v>2025</v>
      </c>
      <c r="D45">
        <v>129279.65</v>
      </c>
      <c r="E45">
        <v>3.2894E-2</v>
      </c>
      <c r="F45">
        <v>3930187.55</v>
      </c>
      <c r="G45">
        <v>7.8617000000000006E-2</v>
      </c>
    </row>
  </sheetData>
  <autoFilter ref="A1:G45" xr:uid="{A9D2C8D6-A564-41AE-846B-513BEF282D37}"/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espinosavillicana_territory_cha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Espinosa</dc:creator>
  <cp:lastModifiedBy>luisangel espinosavillicana</cp:lastModifiedBy>
  <dcterms:created xsi:type="dcterms:W3CDTF">2026-05-01T05:28:32Z</dcterms:created>
  <dcterms:modified xsi:type="dcterms:W3CDTF">2026-05-01T06:11:41Z</dcterms:modified>
</cp:coreProperties>
</file>